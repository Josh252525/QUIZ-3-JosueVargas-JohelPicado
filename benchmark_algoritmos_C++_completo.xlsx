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ff69fae26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odología" sheetId="1" r:id="R952a822cebe34883"/>
    <x:sheet xmlns:r="http://schemas.openxmlformats.org/officeDocument/2006/relationships" name="Datos" sheetId="2" r:id="Recb60eaef4404dc1"/>
    <x:sheet xmlns:r="http://schemas.openxmlformats.org/officeDocument/2006/relationships" name="Análisis" sheetId="3" r:id="R629e39ec02cf480a"/>
    <x:sheet xmlns:r="http://schemas.openxmlformats.org/officeDocument/2006/relationships" name="Gráficas" sheetId="4" r:id="Rbe1fa5dd7326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3" fillId="4" borderId="2" xfId="0" applyNumberFormat="1" applyFont="1" applyFill="1" applyBorder="1"/>
    <x:xf numFmtId="0" fontId="3" fillId="4" borderId="14" xfId="0" applyNumberFormat="1" applyFont="1" applyFill="1" applyBorder="1"/>
    <x:xf numFmtId="0" fontId="3" fillId="4" borderId="3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8" xfId="0" applyNumberFormat="1" applyFont="1" applyFill="1" applyBorder="1"/>
    <x:xf numFmtId="0" fontId="3" fillId="4" borderId="16" xfId="0" applyNumberFormat="1" applyFont="1" applyFill="1" applyBorder="1"/>
    <x:xf numFmtId="0" fontId="3" fillId="4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f8b7637f841fd" /><Relationship Type="http://schemas.openxmlformats.org/officeDocument/2006/relationships/theme" Target="/xl/theme/theme1.xml" Id="R53ae49e45c0947de" /><Relationship Type="http://schemas.openxmlformats.org/officeDocument/2006/relationships/sharedStrings" Target="/xl/sharedStrings.xml" Id="Ra0ac3f6884bf4560" /><Relationship Type="http://schemas.openxmlformats.org/officeDocument/2006/relationships/worksheet" Target="/xl/worksheets/sheet1.xml" Id="R952a822cebe34883" /><Relationship Type="http://schemas.openxmlformats.org/officeDocument/2006/relationships/worksheet" Target="/xl/worksheets/sheet2.xml" Id="Recb60eaef4404dc1" /><Relationship Type="http://schemas.openxmlformats.org/officeDocument/2006/relationships/worksheet" Target="/xl/worksheets/sheet3.xml" Id="R629e39ec02cf480a" /><Relationship Type="http://schemas.openxmlformats.org/officeDocument/2006/relationships/worksheet" Target="/xl/worksheets/sheet4.xml" Id="Rbe1fa5dd732649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785a4ca5814060" /><Relationship Type="http://schemas.openxmlformats.org/officeDocument/2006/relationships/chart" Target="/xl/drawings/charts/chart2.xml" Id="Rf1b9b906c3454734" /><Relationship Type="http://schemas.openxmlformats.org/officeDocument/2006/relationships/chart" Target="/xl/drawings/charts/chart3.xml" Id="Rf3afad5331da4e5d" /><Relationship Type="http://schemas.openxmlformats.org/officeDocument/2006/relationships/chart" Target="/xl/drawings/charts/chart4.xml" Id="R5ef30a90e7004f59" /><Relationship Type="http://schemas.openxmlformats.org/officeDocument/2006/relationships/chart" Target="/xl/drawings/charts/chart5.xml" Id="Rbc5d4eacbc4c4e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G1A — Búsqueda binaria: T(n) vs. n</a:t>
            </a:r>
          </a:p>
        </c:rich>
      </c:tx>
    </c:title>
    <c:plotArea>
      <c:lineChart>
        <c:grouping val="standard"/>
        <c:ser>
          <c:idx val="0"/>
          <c:order val="0"/>
          <c:tx>
            <c:v>Mediana</c:v>
          </c:tx>
          <c:marker>
            <c:symbol val="none"/>
          </c:marker>
          <c:cat>
            <c:numLit>
              <c:formatCode>General</c:formatCode>
              <c:ptCount val="10"/>
              <c:pt idx="0">
                <c:v>1000</c:v>
              </c:pt>
              <c:pt idx="1">
                <c:v>2000</c:v>
              </c:pt>
              <c:pt idx="2">
                <c:v>5000</c:v>
              </c:pt>
              <c:pt idx="3">
                <c:v>10000</c:v>
              </c:pt>
              <c:pt idx="4">
                <c:v>20000</c:v>
              </c:pt>
              <c:pt idx="5">
                <c:v>50000</c:v>
              </c:pt>
              <c:pt idx="6">
                <c:v>100000</c:v>
              </c:pt>
              <c:pt idx="7">
                <c:v>200000</c:v>
              </c:pt>
              <c:pt idx="8">
                <c:v>500000</c:v>
              </c:pt>
              <c:pt idx="9">
                <c:v>1000000</c:v>
              </c:pt>
            </c:numLit>
          </c:cat>
          <c:val>
            <c:numLit>
              <c:formatCode>General</c:formatCode>
              <c:ptCount val="10"/>
              <c:pt idx="0">
                <c:v>10.559</c:v>
              </c:pt>
              <c:pt idx="1">
                <c:v>11.6416</c:v>
              </c:pt>
              <c:pt idx="2">
                <c:v>13.8149</c:v>
              </c:pt>
              <c:pt idx="3">
                <c:v>14.6261</c:v>
              </c:pt>
              <c:pt idx="4">
                <c:v>15.7118</c:v>
              </c:pt>
              <c:pt idx="5">
                <c:v>16.8074</c:v>
              </c:pt>
              <c:pt idx="6">
                <c:v>17.8971</c:v>
              </c:pt>
              <c:pt idx="7">
                <c:v>19.0327</c:v>
              </c:pt>
              <c:pt idx="8">
                <c:v>20.4038</c:v>
              </c:pt>
              <c:pt idx="9">
                <c:v>21.4925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G1B — Mergesort: T(n) vs. n</a:t>
            </a:r>
          </a:p>
        </c:rich>
      </c:tx>
    </c:title>
    <c:plotArea>
      <c:lineChart>
        <c:grouping val="standard"/>
        <c:ser>
          <c:idx val="0"/>
          <c:order val="0"/>
          <c:tx>
            <c:v>Mediana</c:v>
          </c:tx>
          <c:marker>
            <c:symbol val="none"/>
          </c:marker>
          <c:cat>
            <c:numLit>
              <c:formatCode>General</c:formatCode>
              <c:ptCount val="10"/>
              <c:pt idx="0">
                <c:v>1000</c:v>
              </c:pt>
              <c:pt idx="1">
                <c:v>2000</c:v>
              </c:pt>
              <c:pt idx="2">
                <c:v>5000</c:v>
              </c:pt>
              <c:pt idx="3">
                <c:v>10000</c:v>
              </c:pt>
              <c:pt idx="4">
                <c:v>20000</c:v>
              </c:pt>
              <c:pt idx="5">
                <c:v>50000</c:v>
              </c:pt>
              <c:pt idx="6">
                <c:v>100000</c:v>
              </c:pt>
              <c:pt idx="7">
                <c:v>200000</c:v>
              </c:pt>
              <c:pt idx="8">
                <c:v>500000</c:v>
              </c:pt>
              <c:pt idx="9">
                <c:v>1000000</c:v>
              </c:pt>
            </c:numLit>
          </c:cat>
          <c:val>
            <c:numLit>
              <c:formatCode>General</c:formatCode>
              <c:ptCount val="10"/>
              <c:pt idx="0">
                <c:v>0.015623</c:v>
              </c:pt>
              <c:pt idx="1">
                <c:v>0.034131</c:v>
              </c:pt>
              <c:pt idx="2">
                <c:v>0.214074</c:v>
              </c:pt>
              <c:pt idx="3">
                <c:v>0.53642</c:v>
              </c:pt>
              <c:pt idx="4">
                <c:v>1.193254</c:v>
              </c:pt>
              <c:pt idx="5">
                <c:v>3.298156</c:v>
              </c:pt>
              <c:pt idx="6">
                <c:v>6.950858</c:v>
              </c:pt>
              <c:pt idx="7">
                <c:v>15.021027</c:v>
              </c:pt>
              <c:pt idx="8">
                <c:v>39.184165</c:v>
              </c:pt>
              <c:pt idx="9">
                <c:v>82.312172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G2 — Binaria: T(n) vs. log₂(n), R²=0.9957</a:t>
            </a:r>
          </a:p>
        </c:rich>
      </c:tx>
    </c:title>
    <c:plotArea>
      <c:scatterChart>
        <c:scatterStyle val="marker"/>
        <c:ser>
          <c:idx val="0"/>
          <c:order val="0"/>
          <c:tx>
            <c:v>Mediciones</c:v>
          </c:tx>
          <c:xVal>
            <c:numLit>
              <c:formatCode>General</c:formatCode>
              <c:ptCount val="0"/>
            </c:numLit>
          </c:xVal>
          <c:yVal>
            <c:numLit>
              <c:formatCode>General</c:formatCode>
              <c:ptCount val="10"/>
              <c:pt idx="0">
                <c:v>10.559</c:v>
              </c:pt>
              <c:pt idx="1">
                <c:v>11.6416</c:v>
              </c:pt>
              <c:pt idx="2">
                <c:v>13.8149</c:v>
              </c:pt>
              <c:pt idx="3">
                <c:v>14.6261</c:v>
              </c:pt>
              <c:pt idx="4">
                <c:v>15.7118</c:v>
              </c:pt>
              <c:pt idx="5">
                <c:v>16.8074</c:v>
              </c:pt>
              <c:pt idx="6">
                <c:v>17.8971</c:v>
              </c:pt>
              <c:pt idx="7">
                <c:v>19.0327</c:v>
              </c:pt>
              <c:pt idx="8">
                <c:v>20.4038</c:v>
              </c:pt>
              <c:pt idx="9">
                <c:v>21.4925</c:v>
              </c:pt>
            </c:numLit>
          </c:yVal>
        </c:ser>
        <c:ser>
          <c:idx val="1"/>
          <c:order val="1"/>
          <c:tx>
            <c:v>Ajuste</c:v>
          </c:tx>
          <c:xVal>
            <c:numLit>
              <c:formatCode>General</c:formatCode>
              <c:ptCount val="0"/>
            </c:numLit>
          </c:xVal>
          <c:yVal>
            <c:numLit>
              <c:formatCode>General</c:formatCode>
              <c:ptCount val="200"/>
              <c:pt idx="0">
                <c:v>10.850027226969514</c:v>
              </c:pt>
              <c:pt idx="1">
                <c:v>10.903782631723589</c:v>
              </c:pt>
              <c:pt idx="2">
                <c:v>10.957538036477665</c:v>
              </c:pt>
              <c:pt idx="3">
                <c:v>11.011293441231738</c:v>
              </c:pt>
              <c:pt idx="4">
                <c:v>11.065048845985814</c:v>
              </c:pt>
              <c:pt idx="5">
                <c:v>11.11880425073989</c:v>
              </c:pt>
              <c:pt idx="6">
                <c:v>11.172559655493965</c:v>
              </c:pt>
              <c:pt idx="7">
                <c:v>11.22631506024804</c:v>
              </c:pt>
              <c:pt idx="8">
                <c:v>11.280070465002115</c:v>
              </c:pt>
              <c:pt idx="9">
                <c:v>11.333825869756192</c:v>
              </c:pt>
              <c:pt idx="10">
                <c:v>11.387581274510266</c:v>
              </c:pt>
              <c:pt idx="11">
                <c:v>11.44133667926434</c:v>
              </c:pt>
              <c:pt idx="12">
                <c:v>11.495092084018417</c:v>
              </c:pt>
              <c:pt idx="13">
                <c:v>11.548847488772491</c:v>
              </c:pt>
              <c:pt idx="14">
                <c:v>11.602602893526567</c:v>
              </c:pt>
              <c:pt idx="15">
                <c:v>11.656358298280642</c:v>
              </c:pt>
              <c:pt idx="16">
                <c:v>11.710113703034716</c:v>
              </c:pt>
              <c:pt idx="17">
                <c:v>11.763869107788793</c:v>
              </c:pt>
              <c:pt idx="18">
                <c:v>11.817624512542867</c:v>
              </c:pt>
              <c:pt idx="19">
                <c:v>11.871379917296943</c:v>
              </c:pt>
              <c:pt idx="20">
                <c:v>11.925135322051018</c:v>
              </c:pt>
              <c:pt idx="21">
                <c:v>11.978890726805094</c:v>
              </c:pt>
              <c:pt idx="22">
                <c:v>12.032646131559167</c:v>
              </c:pt>
              <c:pt idx="23">
                <c:v>12.086401536313243</c:v>
              </c:pt>
              <c:pt idx="24">
                <c:v>12.14015694106732</c:v>
              </c:pt>
              <c:pt idx="25">
                <c:v>12.193912345821394</c:v>
              </c:pt>
              <c:pt idx="26">
                <c:v>12.24766775057547</c:v>
              </c:pt>
              <c:pt idx="27">
                <c:v>12.301423155329545</c:v>
              </c:pt>
              <c:pt idx="28">
                <c:v>12.355178560083619</c:v>
              </c:pt>
              <c:pt idx="29">
                <c:v>12.408933964837695</c:v>
              </c:pt>
              <c:pt idx="30">
                <c:v>12.46268936959177</c:v>
              </c:pt>
              <c:pt idx="31">
                <c:v>12.516444774345846</c:v>
              </c:pt>
              <c:pt idx="32">
                <c:v>12.57020017909992</c:v>
              </c:pt>
              <c:pt idx="33">
                <c:v>12.623955583853997</c:v>
              </c:pt>
              <c:pt idx="34">
                <c:v>12.67771098860807</c:v>
              </c:pt>
              <c:pt idx="35">
                <c:v>12.731466393362146</c:v>
              </c:pt>
              <c:pt idx="36">
                <c:v>12.785221798116222</c:v>
              </c:pt>
              <c:pt idx="37">
                <c:v>12.838977202870296</c:v>
              </c:pt>
              <c:pt idx="38">
                <c:v>12.892732607624373</c:v>
              </c:pt>
              <c:pt idx="39">
                <c:v>12.946488012378447</c:v>
              </c:pt>
              <c:pt idx="40">
                <c:v>13.000243417132522</c:v>
              </c:pt>
              <c:pt idx="41">
                <c:v>13.053998821886598</c:v>
              </c:pt>
              <c:pt idx="42">
                <c:v>13.107754226640672</c:v>
              </c:pt>
              <c:pt idx="43">
                <c:v>13.161509631394749</c:v>
              </c:pt>
              <c:pt idx="44">
                <c:v>13.215265036148823</c:v>
              </c:pt>
              <c:pt idx="45">
                <c:v>13.2690204409029</c:v>
              </c:pt>
              <c:pt idx="46">
                <c:v>13.322775845656976</c:v>
              </c:pt>
              <c:pt idx="47">
                <c:v>13.376531250411048</c:v>
              </c:pt>
              <c:pt idx="48">
                <c:v>13.430286655165125</c:v>
              </c:pt>
              <c:pt idx="49">
                <c:v>13.484042059919199</c:v>
              </c:pt>
              <c:pt idx="50">
                <c:v>13.537797464673275</c:v>
              </c:pt>
              <c:pt idx="51">
                <c:v>13.59155286942735</c:v>
              </c:pt>
              <c:pt idx="52">
                <c:v>13.645308274181424</c:v>
              </c:pt>
              <c:pt idx="53">
                <c:v>13.6990636789355</c:v>
              </c:pt>
              <c:pt idx="54">
                <c:v>13.752819083689575</c:v>
              </c:pt>
              <c:pt idx="55">
                <c:v>13.806574488443651</c:v>
              </c:pt>
              <c:pt idx="56">
                <c:v>13.860329893197726</c:v>
              </c:pt>
              <c:pt idx="57">
                <c:v>13.914085297951802</c:v>
              </c:pt>
              <c:pt idx="58">
                <c:v>13.967840702705876</c:v>
              </c:pt>
              <c:pt idx="59">
                <c:v>14.02159610745995</c:v>
              </c:pt>
              <c:pt idx="60">
                <c:v>14.075351512214027</c:v>
              </c:pt>
              <c:pt idx="61">
                <c:v>14.129106916968102</c:v>
              </c:pt>
              <c:pt idx="62">
                <c:v>14.182862321722178</c:v>
              </c:pt>
              <c:pt idx="63">
                <c:v>14.236617726476252</c:v>
              </c:pt>
              <c:pt idx="64">
                <c:v>14.290373131230327</c:v>
              </c:pt>
              <c:pt idx="65">
                <c:v>14.344128535984401</c:v>
              </c:pt>
              <c:pt idx="66">
                <c:v>14.397883940738478</c:v>
              </c:pt>
              <c:pt idx="67">
                <c:v>14.451639345492554</c:v>
              </c:pt>
              <c:pt idx="68">
                <c:v>14.505394750246628</c:v>
              </c:pt>
              <c:pt idx="69">
                <c:v>14.559150155000705</c:v>
              </c:pt>
              <c:pt idx="70">
                <c:v>14.612905559754779</c:v>
              </c:pt>
              <c:pt idx="71">
                <c:v>14.666660964508853</c:v>
              </c:pt>
              <c:pt idx="72">
                <c:v>14.72041636926293</c:v>
              </c:pt>
              <c:pt idx="73">
                <c:v>14.774171774017004</c:v>
              </c:pt>
              <c:pt idx="74">
                <c:v>14.82792717877108</c:v>
              </c:pt>
              <c:pt idx="75">
                <c:v>14.881682583525155</c:v>
              </c:pt>
              <c:pt idx="76">
                <c:v>14.93543798827923</c:v>
              </c:pt>
              <c:pt idx="77">
                <c:v>14.989193393033304</c:v>
              </c:pt>
              <c:pt idx="78">
                <c:v>15.04294879778738</c:v>
              </c:pt>
              <c:pt idx="79">
                <c:v>15.096704202541456</c:v>
              </c:pt>
              <c:pt idx="80">
                <c:v>15.15045960729553</c:v>
              </c:pt>
              <c:pt idx="81">
                <c:v>15.204215012049607</c:v>
              </c:pt>
              <c:pt idx="82">
                <c:v>15.257970416803682</c:v>
              </c:pt>
              <c:pt idx="83">
                <c:v>15.311725821557758</c:v>
              </c:pt>
              <c:pt idx="84">
                <c:v>15.365481226311832</c:v>
              </c:pt>
              <c:pt idx="85">
                <c:v>15.419236631065907</c:v>
              </c:pt>
              <c:pt idx="86">
                <c:v>15.472992035819983</c:v>
              </c:pt>
              <c:pt idx="87">
                <c:v>15.526747440574056</c:v>
              </c:pt>
              <c:pt idx="88">
                <c:v>15.580502845328132</c:v>
              </c:pt>
              <c:pt idx="89">
                <c:v>15.634258250082206</c:v>
              </c:pt>
              <c:pt idx="90">
                <c:v>15.688013654836283</c:v>
              </c:pt>
              <c:pt idx="91">
                <c:v>15.741769059590359</c:v>
              </c:pt>
              <c:pt idx="92">
                <c:v>15.795524464344433</c:v>
              </c:pt>
              <c:pt idx="93">
                <c:v>15.84927986909851</c:v>
              </c:pt>
              <c:pt idx="94">
                <c:v>15.903035273852584</c:v>
              </c:pt>
              <c:pt idx="95">
                <c:v>15.95679067860666</c:v>
              </c:pt>
              <c:pt idx="96">
                <c:v>16.010546083360737</c:v>
              </c:pt>
              <c:pt idx="97">
                <c:v>16.06430148811481</c:v>
              </c:pt>
              <c:pt idx="98">
                <c:v>16.118056892868886</c:v>
              </c:pt>
              <c:pt idx="99">
                <c:v>16.17181229762296</c:v>
              </c:pt>
              <c:pt idx="100">
                <c:v>16.225567702377035</c:v>
              </c:pt>
              <c:pt idx="101">
                <c:v>16.27932310713111</c:v>
              </c:pt>
              <c:pt idx="102">
                <c:v>16.333078511885187</c:v>
              </c:pt>
              <c:pt idx="103">
                <c:v>16.38683391663926</c:v>
              </c:pt>
              <c:pt idx="104">
                <c:v>16.440589321393336</c:v>
              </c:pt>
              <c:pt idx="105">
                <c:v>16.49434472614741</c:v>
              </c:pt>
              <c:pt idx="106">
                <c:v>16.54810013090149</c:v>
              </c:pt>
              <c:pt idx="107">
                <c:v>16.601855535655563</c:v>
              </c:pt>
              <c:pt idx="108">
                <c:v>16.655610940409638</c:v>
              </c:pt>
              <c:pt idx="109">
                <c:v>16.709366345163712</c:v>
              </c:pt>
              <c:pt idx="110">
                <c:v>16.763121749917786</c:v>
              </c:pt>
              <c:pt idx="111">
                <c:v>16.816877154671865</c:v>
              </c:pt>
              <c:pt idx="112">
                <c:v>16.870632559425935</c:v>
              </c:pt>
              <c:pt idx="113">
                <c:v>16.924387964180013</c:v>
              </c:pt>
              <c:pt idx="114">
                <c:v>16.978143368934088</c:v>
              </c:pt>
              <c:pt idx="115">
                <c:v>17.031898773688162</c:v>
              </c:pt>
              <c:pt idx="116">
                <c:v>17.08565417844224</c:v>
              </c:pt>
              <c:pt idx="117">
                <c:v>17.139409583196315</c:v>
              </c:pt>
              <c:pt idx="118">
                <c:v>17.19316498795039</c:v>
              </c:pt>
              <c:pt idx="119">
                <c:v>17.246920392704464</c:v>
              </c:pt>
              <c:pt idx="120">
                <c:v>17.300675797458542</c:v>
              </c:pt>
              <c:pt idx="121">
                <c:v>17.354431202212616</c:v>
              </c:pt>
              <c:pt idx="122">
                <c:v>17.408186606966687</c:v>
              </c:pt>
              <c:pt idx="123">
                <c:v>17.46194201172077</c:v>
              </c:pt>
              <c:pt idx="124">
                <c:v>17.51569741647484</c:v>
              </c:pt>
              <c:pt idx="125">
                <c:v>17.569452821228914</c:v>
              </c:pt>
              <c:pt idx="126">
                <c:v>17.62320822598299</c:v>
              </c:pt>
              <c:pt idx="127">
                <c:v>17.676963630737067</c:v>
              </c:pt>
              <c:pt idx="128">
                <c:v>17.73071903549114</c:v>
              </c:pt>
              <c:pt idx="129">
                <c:v>17.784474440245216</c:v>
              </c:pt>
              <c:pt idx="130">
                <c:v>17.838229844999294</c:v>
              </c:pt>
              <c:pt idx="131">
                <c:v>17.89198524975337</c:v>
              </c:pt>
              <c:pt idx="132">
                <c:v>17.945740654507443</c:v>
              </c:pt>
              <c:pt idx="133">
                <c:v>17.999496059261514</c:v>
              </c:pt>
              <c:pt idx="134">
                <c:v>18.053251464015595</c:v>
              </c:pt>
              <c:pt idx="135">
                <c:v>18.107006868769666</c:v>
              </c:pt>
              <c:pt idx="136">
                <c:v>18.16076227352374</c:v>
              </c:pt>
              <c:pt idx="137">
                <c:v>18.21451767827782</c:v>
              </c:pt>
              <c:pt idx="138">
                <c:v>18.268273083031893</c:v>
              </c:pt>
              <c:pt idx="139">
                <c:v>18.322028487785968</c:v>
              </c:pt>
              <c:pt idx="140">
                <c:v>18.375783892540046</c:v>
              </c:pt>
              <c:pt idx="141">
                <c:v>18.42953929729412</c:v>
              </c:pt>
              <c:pt idx="142">
                <c:v>18.483294702048195</c:v>
              </c:pt>
              <c:pt idx="143">
                <c:v>18.53705010680227</c:v>
              </c:pt>
              <c:pt idx="144">
                <c:v>18.590805511556347</c:v>
              </c:pt>
              <c:pt idx="145">
                <c:v>18.64456091631042</c:v>
              </c:pt>
              <c:pt idx="146">
                <c:v>18.698316321064492</c:v>
              </c:pt>
              <c:pt idx="147">
                <c:v>18.752071725818574</c:v>
              </c:pt>
              <c:pt idx="148">
                <c:v>18.805827130572645</c:v>
              </c:pt>
              <c:pt idx="149">
                <c:v>18.85958253532672</c:v>
              </c:pt>
              <c:pt idx="150">
                <c:v>18.913337940080794</c:v>
              </c:pt>
              <c:pt idx="151">
                <c:v>18.967093344834872</c:v>
              </c:pt>
              <c:pt idx="152">
                <c:v>19.020848749588946</c:v>
              </c:pt>
              <c:pt idx="153">
                <c:v>19.07460415434302</c:v>
              </c:pt>
              <c:pt idx="154">
                <c:v>19.1283595590971</c:v>
              </c:pt>
              <c:pt idx="155">
                <c:v>19.182114963851173</c:v>
              </c:pt>
              <c:pt idx="156">
                <c:v>19.235870368605248</c:v>
              </c:pt>
              <c:pt idx="157">
                <c:v>19.28962577335932</c:v>
              </c:pt>
              <c:pt idx="158">
                <c:v>19.3433811781134</c:v>
              </c:pt>
              <c:pt idx="159">
                <c:v>19.39713658286747</c:v>
              </c:pt>
              <c:pt idx="160">
                <c:v>19.45089198762155</c:v>
              </c:pt>
              <c:pt idx="161">
                <c:v>19.504647392375624</c:v>
              </c:pt>
              <c:pt idx="162">
                <c:v>19.5584027971297</c:v>
              </c:pt>
              <c:pt idx="163">
                <c:v>19.612158201883773</c:v>
              </c:pt>
              <c:pt idx="164">
                <c:v>19.66591360663785</c:v>
              </c:pt>
              <c:pt idx="165">
                <c:v>19.719669011391925</c:v>
              </c:pt>
              <c:pt idx="166">
                <c:v>19.773424416146</c:v>
              </c:pt>
              <c:pt idx="167">
                <c:v>19.827179820900074</c:v>
              </c:pt>
              <c:pt idx="168">
                <c:v>19.88093522565415</c:v>
              </c:pt>
              <c:pt idx="169">
                <c:v>19.934690630408227</c:v>
              </c:pt>
              <c:pt idx="170">
                <c:v>19.988446035162298</c:v>
              </c:pt>
              <c:pt idx="171">
                <c:v>20.04220143991638</c:v>
              </c:pt>
              <c:pt idx="172">
                <c:v>20.09595684467045</c:v>
              </c:pt>
              <c:pt idx="173">
                <c:v>20.149712249424528</c:v>
              </c:pt>
              <c:pt idx="174">
                <c:v>20.2034676541786</c:v>
              </c:pt>
              <c:pt idx="175">
                <c:v>20.257223058932677</c:v>
              </c:pt>
              <c:pt idx="176">
                <c:v>20.31097846368675</c:v>
              </c:pt>
              <c:pt idx="177">
                <c:v>20.364733868440826</c:v>
              </c:pt>
              <c:pt idx="178">
                <c:v>20.418489273194904</c:v>
              </c:pt>
              <c:pt idx="179">
                <c:v>20.47224467794898</c:v>
              </c:pt>
              <c:pt idx="180">
                <c:v>20.526000082703053</c:v>
              </c:pt>
              <c:pt idx="181">
                <c:v>20.579755487457124</c:v>
              </c:pt>
              <c:pt idx="182">
                <c:v>20.633510892211206</c:v>
              </c:pt>
              <c:pt idx="183">
                <c:v>20.687266296965277</c:v>
              </c:pt>
              <c:pt idx="184">
                <c:v>20.741021701719355</c:v>
              </c:pt>
              <c:pt idx="185">
                <c:v>20.79477710647343</c:v>
              </c:pt>
              <c:pt idx="186">
                <c:v>20.848532511227504</c:v>
              </c:pt>
              <c:pt idx="187">
                <c:v>20.902287915981578</c:v>
              </c:pt>
              <c:pt idx="188">
                <c:v>20.956043320735656</c:v>
              </c:pt>
              <c:pt idx="189">
                <c:v>21.00979872548973</c:v>
              </c:pt>
              <c:pt idx="190">
                <c:v>21.063554130243805</c:v>
              </c:pt>
              <c:pt idx="191">
                <c:v>21.11730953499788</c:v>
              </c:pt>
              <c:pt idx="192">
                <c:v>21.171064939751954</c:v>
              </c:pt>
              <c:pt idx="193">
                <c:v>21.224820344506032</c:v>
              </c:pt>
              <c:pt idx="194">
                <c:v>21.278575749260103</c:v>
              </c:pt>
              <c:pt idx="195">
                <c:v>21.332331154014184</c:v>
              </c:pt>
              <c:pt idx="196">
                <c:v>21.386086558768255</c:v>
              </c:pt>
              <c:pt idx="197">
                <c:v>21.439841963522333</c:v>
              </c:pt>
              <c:pt idx="198">
                <c:v>21.493597368276404</c:v>
              </c:pt>
              <c:pt idx="199">
                <c:v>21.547352773030482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G3 — Mergesort: T(n) vs. n log₂(n), R²=0.999966</a:t>
            </a:r>
          </a:p>
        </c:rich>
      </c:tx>
    </c:title>
    <c:plotArea>
      <c:scatterChart>
        <c:scatterStyle val="marker"/>
        <c:ser>
          <c:idx val="0"/>
          <c:order val="0"/>
          <c:tx>
            <c:v>Mediciones</c:v>
          </c:tx>
          <c:xVal>
            <c:numLit>
              <c:formatCode>General</c:formatCode>
              <c:ptCount val="0"/>
            </c:numLit>
          </c:xVal>
          <c:yVal>
            <c:numLit>
              <c:formatCode>General</c:formatCode>
              <c:ptCount val="10"/>
              <c:pt idx="0">
                <c:v>0.015623</c:v>
              </c:pt>
              <c:pt idx="1">
                <c:v>0.034131</c:v>
              </c:pt>
              <c:pt idx="2">
                <c:v>0.214074</c:v>
              </c:pt>
              <c:pt idx="3">
                <c:v>0.53642</c:v>
              </c:pt>
              <c:pt idx="4">
                <c:v>1.193254</c:v>
              </c:pt>
              <c:pt idx="5">
                <c:v>3.298156</c:v>
              </c:pt>
              <c:pt idx="6">
                <c:v>6.950858</c:v>
              </c:pt>
              <c:pt idx="7">
                <c:v>15.021027</c:v>
              </c:pt>
              <c:pt idx="8">
                <c:v>39.184165</c:v>
              </c:pt>
              <c:pt idx="9">
                <c:v>82.312172</c:v>
              </c:pt>
            </c:numLit>
          </c:yVal>
        </c:ser>
        <c:ser>
          <c:idx val="1"/>
          <c:order val="1"/>
          <c:tx>
            <c:v>Ajuste</c:v>
          </c:tx>
          <c:xVal>
            <c:numLit>
              <c:formatCode>General</c:formatCode>
              <c:ptCount val="0"/>
            </c:numLit>
          </c:xVal>
          <c:yVal>
            <c:numLit>
              <c:formatCode>General</c:formatCode>
              <c:ptCount val="200"/>
              <c:pt idx="0">
                <c:v>0.09730212889798119</c:v>
              </c:pt>
              <c:pt idx="1">
                <c:v>0.5108742096813462</c:v>
              </c:pt>
              <c:pt idx="2">
                <c:v>0.9244462904647113</c:v>
              </c:pt>
              <c:pt idx="3">
                <c:v>1.3380183712480764</c:v>
              </c:pt>
              <c:pt idx="4">
                <c:v>1.7515904520314414</c:v>
              </c:pt>
              <c:pt idx="5">
                <c:v>2.1651625328148065</c:v>
              </c:pt>
              <c:pt idx="6">
                <c:v>2.578734613598172</c:v>
              </c:pt>
              <c:pt idx="7">
                <c:v>2.992306694381537</c:v>
              </c:pt>
              <c:pt idx="8">
                <c:v>3.405878775164902</c:v>
              </c:pt>
              <c:pt idx="9">
                <c:v>3.8194508559482667</c:v>
              </c:pt>
              <c:pt idx="10">
                <c:v>4.233022936731631</c:v>
              </c:pt>
              <c:pt idx="11">
                <c:v>4.646595017514996</c:v>
              </c:pt>
              <c:pt idx="12">
                <c:v>5.060167098298361</c:v>
              </c:pt>
              <c:pt idx="13">
                <c:v>5.4737391790817265</c:v>
              </c:pt>
              <c:pt idx="14">
                <c:v>5.887311259865092</c:v>
              </c:pt>
              <c:pt idx="15">
                <c:v>6.300883340648457</c:v>
              </c:pt>
              <c:pt idx="16">
                <c:v>6.714455421431821</c:v>
              </c:pt>
              <c:pt idx="17">
                <c:v>7.128027502215186</c:v>
              </c:pt>
              <c:pt idx="18">
                <c:v>7.541599582998551</c:v>
              </c:pt>
              <c:pt idx="19">
                <c:v>7.9551716637819165</c:v>
              </c:pt>
              <c:pt idx="20">
                <c:v>8.368743744565283</c:v>
              </c:pt>
              <c:pt idx="21">
                <c:v>8.782315825348649</c:v>
              </c:pt>
              <c:pt idx="22">
                <c:v>9.195887906132011</c:v>
              </c:pt>
              <c:pt idx="23">
                <c:v>9.609459986915377</c:v>
              </c:pt>
              <c:pt idx="24">
                <c:v>10.023032067698743</c:v>
              </c:pt>
              <c:pt idx="25">
                <c:v>10.436604148482107</c:v>
              </c:pt>
              <c:pt idx="26">
                <c:v>10.850176229265474</c:v>
              </c:pt>
              <c:pt idx="27">
                <c:v>11.263748310048838</c:v>
              </c:pt>
              <c:pt idx="28">
                <c:v>11.677320390832204</c:v>
              </c:pt>
              <c:pt idx="29">
                <c:v>12.090892471615568</c:v>
              </c:pt>
              <c:pt idx="30">
                <c:v>12.504464552398932</c:v>
              </c:pt>
              <c:pt idx="31">
                <c:v>12.918036633182297</c:v>
              </c:pt>
              <c:pt idx="32">
                <c:v>13.331608713965663</c:v>
              </c:pt>
              <c:pt idx="33">
                <c:v>13.745180794749029</c:v>
              </c:pt>
              <c:pt idx="34">
                <c:v>14.158752875532393</c:v>
              </c:pt>
              <c:pt idx="35">
                <c:v>14.572324956315759</c:v>
              </c:pt>
              <c:pt idx="36">
                <c:v>14.985897037099123</c:v>
              </c:pt>
              <c:pt idx="37">
                <c:v>15.39946911788249</c:v>
              </c:pt>
              <c:pt idx="38">
                <c:v>15.813041198665852</c:v>
              </c:pt>
              <c:pt idx="39">
                <c:v>16.226613279449218</c:v>
              </c:pt>
              <c:pt idx="40">
                <c:v>16.640185360232582</c:v>
              </c:pt>
              <c:pt idx="41">
                <c:v>17.05375744101595</c:v>
              </c:pt>
              <c:pt idx="42">
                <c:v>17.467329521799318</c:v>
              </c:pt>
              <c:pt idx="43">
                <c:v>17.88090160258268</c:v>
              </c:pt>
              <c:pt idx="44">
                <c:v>18.294473683366043</c:v>
              </c:pt>
              <c:pt idx="45">
                <c:v>18.70804576414941</c:v>
              </c:pt>
              <c:pt idx="46">
                <c:v>19.121617844932775</c:v>
              </c:pt>
              <c:pt idx="47">
                <c:v>19.53518992571614</c:v>
              </c:pt>
              <c:pt idx="48">
                <c:v>19.948762006499507</c:v>
              </c:pt>
              <c:pt idx="49">
                <c:v>20.36233408728287</c:v>
              </c:pt>
              <c:pt idx="50">
                <c:v>20.775906168066236</c:v>
              </c:pt>
              <c:pt idx="51">
                <c:v>21.1894782488496</c:v>
              </c:pt>
              <c:pt idx="52">
                <c:v>21.603050329632968</c:v>
              </c:pt>
              <c:pt idx="53">
                <c:v>22.016622410416332</c:v>
              </c:pt>
              <c:pt idx="54">
                <c:v>22.430194491199696</c:v>
              </c:pt>
              <c:pt idx="55">
                <c:v>22.84376657198306</c:v>
              </c:pt>
              <c:pt idx="56">
                <c:v>23.25733865276643</c:v>
              </c:pt>
              <c:pt idx="57">
                <c:v>23.670910733549793</c:v>
              </c:pt>
              <c:pt idx="58">
                <c:v>24.084482814333157</c:v>
              </c:pt>
              <c:pt idx="59">
                <c:v>24.498054895116525</c:v>
              </c:pt>
              <c:pt idx="60">
                <c:v>24.911626975899885</c:v>
              </c:pt>
              <c:pt idx="61">
                <c:v>25.32519905668325</c:v>
              </c:pt>
              <c:pt idx="62">
                <c:v>25.738771137466614</c:v>
              </c:pt>
              <c:pt idx="63">
                <c:v>26.15234321824998</c:v>
              </c:pt>
              <c:pt idx="64">
                <c:v>26.565915299033346</c:v>
              </c:pt>
              <c:pt idx="65">
                <c:v>26.97948737981671</c:v>
              </c:pt>
              <c:pt idx="66">
                <c:v>27.393059460600078</c:v>
              </c:pt>
              <c:pt idx="67">
                <c:v>27.806631541383442</c:v>
              </c:pt>
              <c:pt idx="68">
                <c:v>28.220203622166807</c:v>
              </c:pt>
              <c:pt idx="69">
                <c:v>28.63377570295017</c:v>
              </c:pt>
              <c:pt idx="70">
                <c:v>29.04734778373354</c:v>
              </c:pt>
              <c:pt idx="71">
                <c:v>29.460919864516903</c:v>
              </c:pt>
              <c:pt idx="72">
                <c:v>29.874491945300267</c:v>
              </c:pt>
              <c:pt idx="73">
                <c:v>30.288064026083635</c:v>
              </c:pt>
              <c:pt idx="74">
                <c:v>30.701636106867</c:v>
              </c:pt>
              <c:pt idx="75">
                <c:v>31.115208187650364</c:v>
              </c:pt>
              <c:pt idx="76">
                <c:v>31.528780268433724</c:v>
              </c:pt>
              <c:pt idx="77">
                <c:v>31.942352349217092</c:v>
              </c:pt>
              <c:pt idx="78">
                <c:v>32.35592443000046</c:v>
              </c:pt>
              <c:pt idx="79">
                <c:v>32.769496510783824</c:v>
              </c:pt>
              <c:pt idx="80">
                <c:v>33.183068591567185</c:v>
              </c:pt>
              <c:pt idx="81">
                <c:v>33.59664067235055</c:v>
              </c:pt>
              <c:pt idx="82">
                <c:v>34.01021275313392</c:v>
              </c:pt>
              <c:pt idx="83">
                <c:v>34.42378483391728</c:v>
              </c:pt>
              <c:pt idx="84">
                <c:v>34.83735691470065</c:v>
              </c:pt>
              <c:pt idx="85">
                <c:v>35.25092899548401</c:v>
              </c:pt>
              <c:pt idx="86">
                <c:v>35.66450107626738</c:v>
              </c:pt>
              <c:pt idx="87">
                <c:v>36.078073157050746</c:v>
              </c:pt>
              <c:pt idx="88">
                <c:v>36.491645237834106</c:v>
              </c:pt>
              <c:pt idx="89">
                <c:v>36.905217318617474</c:v>
              </c:pt>
              <c:pt idx="90">
                <c:v>37.31878939940084</c:v>
              </c:pt>
              <c:pt idx="91">
                <c:v>37.7323614801842</c:v>
              </c:pt>
              <c:pt idx="92">
                <c:v>38.14593356096757</c:v>
              </c:pt>
              <c:pt idx="93">
                <c:v>38.55950564175094</c:v>
              </c:pt>
              <c:pt idx="94">
                <c:v>38.9730777225343</c:v>
              </c:pt>
              <c:pt idx="95">
                <c:v>39.38664980331767</c:v>
              </c:pt>
              <c:pt idx="96">
                <c:v>39.800221884101035</c:v>
              </c:pt>
              <c:pt idx="97">
                <c:v>40.213793964884395</c:v>
              </c:pt>
              <c:pt idx="98">
                <c:v>40.62736604566776</c:v>
              </c:pt>
              <c:pt idx="99">
                <c:v>41.040938126451124</c:v>
              </c:pt>
              <c:pt idx="100">
                <c:v>41.45451020723449</c:v>
              </c:pt>
              <c:pt idx="101">
                <c:v>41.86808228801786</c:v>
              </c:pt>
              <c:pt idx="102">
                <c:v>42.28165436880121</c:v>
              </c:pt>
              <c:pt idx="103">
                <c:v>42.69522644958458</c:v>
              </c:pt>
              <c:pt idx="104">
                <c:v>43.10879853036795</c:v>
              </c:pt>
              <c:pt idx="105">
                <c:v>43.52237061115131</c:v>
              </c:pt>
              <c:pt idx="106">
                <c:v>43.93594269193468</c:v>
              </c:pt>
              <c:pt idx="107">
                <c:v>44.349514772718045</c:v>
              </c:pt>
              <c:pt idx="108">
                <c:v>44.763086853501406</c:v>
              </c:pt>
              <c:pt idx="109">
                <c:v>45.176658934284774</c:v>
              </c:pt>
              <c:pt idx="110">
                <c:v>45.590231015068134</c:v>
              </c:pt>
              <c:pt idx="111">
                <c:v>46.0038030958515</c:v>
              </c:pt>
              <c:pt idx="112">
                <c:v>46.41737517663487</c:v>
              </c:pt>
              <c:pt idx="113">
                <c:v>46.83094725741823</c:v>
              </c:pt>
              <c:pt idx="114">
                <c:v>47.2445193382016</c:v>
              </c:pt>
              <c:pt idx="115">
                <c:v>47.65809141898497</c:v>
              </c:pt>
              <c:pt idx="116">
                <c:v>48.07166349976833</c:v>
              </c:pt>
              <c:pt idx="117">
                <c:v>48.485235580551695</c:v>
              </c:pt>
              <c:pt idx="118">
                <c:v>48.89880766133506</c:v>
              </c:pt>
              <c:pt idx="119">
                <c:v>49.312379742118424</c:v>
              </c:pt>
              <c:pt idx="120">
                <c:v>49.72595182290179</c:v>
              </c:pt>
              <c:pt idx="121">
                <c:v>50.13952390368516</c:v>
              </c:pt>
              <c:pt idx="122">
                <c:v>50.55309598446852</c:v>
              </c:pt>
              <c:pt idx="123">
                <c:v>50.96666806525189</c:v>
              </c:pt>
              <c:pt idx="124">
                <c:v>51.38024014603525</c:v>
              </c:pt>
              <c:pt idx="125">
                <c:v>51.793812226818616</c:v>
              </c:pt>
              <c:pt idx="126">
                <c:v>52.207384307601984</c:v>
              </c:pt>
              <c:pt idx="127">
                <c:v>52.620956388385345</c:v>
              </c:pt>
              <c:pt idx="128">
                <c:v>53.03452846916871</c:v>
              </c:pt>
              <c:pt idx="129">
                <c:v>53.44810054995208</c:v>
              </c:pt>
              <c:pt idx="130">
                <c:v>53.86167263073544</c:v>
              </c:pt>
              <c:pt idx="131">
                <c:v>54.27524471151881</c:v>
              </c:pt>
              <c:pt idx="132">
                <c:v>54.68881679230218</c:v>
              </c:pt>
              <c:pt idx="133">
                <c:v>55.10238887308553</c:v>
              </c:pt>
              <c:pt idx="134">
                <c:v>55.5159609538689</c:v>
              </c:pt>
              <c:pt idx="135">
                <c:v>55.92953303465226</c:v>
              </c:pt>
              <c:pt idx="136">
                <c:v>56.34310511543563</c:v>
              </c:pt>
              <c:pt idx="137">
                <c:v>56.756677196218995</c:v>
              </c:pt>
              <c:pt idx="138">
                <c:v>57.170249277002355</c:v>
              </c:pt>
              <c:pt idx="139">
                <c:v>57.58382135778572</c:v>
              </c:pt>
              <c:pt idx="140">
                <c:v>57.99739343856909</c:v>
              </c:pt>
              <c:pt idx="141">
                <c:v>58.41096551935245</c:v>
              </c:pt>
              <c:pt idx="142">
                <c:v>58.82453760013582</c:v>
              </c:pt>
              <c:pt idx="143">
                <c:v>59.23810968091919</c:v>
              </c:pt>
              <c:pt idx="144">
                <c:v>59.65168176170255</c:v>
              </c:pt>
              <c:pt idx="145">
                <c:v>60.065253842485916</c:v>
              </c:pt>
              <c:pt idx="146">
                <c:v>60.478825923269284</c:v>
              </c:pt>
              <c:pt idx="147">
                <c:v>60.892398004052644</c:v>
              </c:pt>
              <c:pt idx="148">
                <c:v>61.30597008483601</c:v>
              </c:pt>
              <c:pt idx="149">
                <c:v>61.71954216561937</c:v>
              </c:pt>
              <c:pt idx="150">
                <c:v>62.13311424640274</c:v>
              </c:pt>
              <c:pt idx="151">
                <c:v>62.54668632718611</c:v>
              </c:pt>
              <c:pt idx="152">
                <c:v>62.96025840796947</c:v>
              </c:pt>
              <c:pt idx="153">
                <c:v>63.37383048875284</c:v>
              </c:pt>
              <c:pt idx="154">
                <c:v>63.787402569536205</c:v>
              </c:pt>
              <c:pt idx="155">
                <c:v>64.20097465031955</c:v>
              </c:pt>
              <c:pt idx="156">
                <c:v>64.61454673110292</c:v>
              </c:pt>
              <c:pt idx="157">
                <c:v>65.02811881188629</c:v>
              </c:pt>
              <c:pt idx="158">
                <c:v>65.44169089266965</c:v>
              </c:pt>
              <c:pt idx="159">
                <c:v>65.85526297345302</c:v>
              </c:pt>
              <c:pt idx="160">
                <c:v>66.26883505423638</c:v>
              </c:pt>
              <c:pt idx="161">
                <c:v>66.68240713501974</c:v>
              </c:pt>
              <c:pt idx="162">
                <c:v>67.09597921580311</c:v>
              </c:pt>
              <c:pt idx="163">
                <c:v>67.50955129658648</c:v>
              </c:pt>
              <c:pt idx="164">
                <c:v>67.92312337736985</c:v>
              </c:pt>
              <c:pt idx="165">
                <c:v>68.33669545815322</c:v>
              </c:pt>
              <c:pt idx="166">
                <c:v>68.75026753893657</c:v>
              </c:pt>
              <c:pt idx="167">
                <c:v>69.16383961971994</c:v>
              </c:pt>
              <c:pt idx="168">
                <c:v>69.5774117005033</c:v>
              </c:pt>
              <c:pt idx="169">
                <c:v>69.99098378128667</c:v>
              </c:pt>
              <c:pt idx="170">
                <c:v>70.40455586207003</c:v>
              </c:pt>
              <c:pt idx="171">
                <c:v>70.8181279428534</c:v>
              </c:pt>
              <c:pt idx="172">
                <c:v>71.23170002363676</c:v>
              </c:pt>
              <c:pt idx="173">
                <c:v>71.64527210442013</c:v>
              </c:pt>
              <c:pt idx="174">
                <c:v>72.0588441852035</c:v>
              </c:pt>
              <c:pt idx="175">
                <c:v>72.47241626598687</c:v>
              </c:pt>
              <c:pt idx="176">
                <c:v>72.88598834677022</c:v>
              </c:pt>
              <c:pt idx="177">
                <c:v>73.29956042755359</c:v>
              </c:pt>
              <c:pt idx="178">
                <c:v>73.71313250833695</c:v>
              </c:pt>
              <c:pt idx="179">
                <c:v>74.12670458912032</c:v>
              </c:pt>
              <c:pt idx="180">
                <c:v>74.54027666990369</c:v>
              </c:pt>
              <c:pt idx="181">
                <c:v>74.95384875068704</c:v>
              </c:pt>
              <c:pt idx="182">
                <c:v>75.36742083147041</c:v>
              </c:pt>
              <c:pt idx="183">
                <c:v>75.78099291225378</c:v>
              </c:pt>
              <c:pt idx="184">
                <c:v>76.19456499303715</c:v>
              </c:pt>
              <c:pt idx="185">
                <c:v>76.60813707382052</c:v>
              </c:pt>
              <c:pt idx="186">
                <c:v>77.02170915460388</c:v>
              </c:pt>
              <c:pt idx="187">
                <c:v>77.43528123538724</c:v>
              </c:pt>
              <c:pt idx="188">
                <c:v>77.8488533161706</c:v>
              </c:pt>
              <c:pt idx="189">
                <c:v>78.26242539695397</c:v>
              </c:pt>
              <c:pt idx="190">
                <c:v>78.67599747773734</c:v>
              </c:pt>
              <c:pt idx="191">
                <c:v>79.08956955852071</c:v>
              </c:pt>
              <c:pt idx="192">
                <c:v>79.50314163930408</c:v>
              </c:pt>
              <c:pt idx="193">
                <c:v>79.91671372008743</c:v>
              </c:pt>
              <c:pt idx="194">
                <c:v>80.3302858008708</c:v>
              </c:pt>
              <c:pt idx="195">
                <c:v>80.74385788165416</c:v>
              </c:pt>
              <c:pt idx="196">
                <c:v>81.15742996243753</c:v>
              </c:pt>
              <c:pt idx="197">
                <c:v>81.5710020432209</c:v>
              </c:pt>
              <c:pt idx="198">
                <c:v>81.98457412400425</c:v>
              </c:pt>
              <c:pt idx="199">
                <c:v>82.39814620478762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G4 — Cociente T(2n)/T(n)</a:t>
            </a:r>
          </a:p>
        </c:rich>
      </c:tx>
    </c:title>
    <c:plotArea>
      <c:lineChart>
        <c:grouping val="standard"/>
        <c:ser>
          <c:idx val="0"/>
          <c:order val="0"/>
          <c:tx>
            <c:v>Binaria experimental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1000</c:v>
              </c:pt>
              <c:pt idx="1">
                <c:v>5000</c:v>
              </c:pt>
              <c:pt idx="2">
                <c:v>10000</c:v>
              </c:pt>
              <c:pt idx="3">
                <c:v>50000</c:v>
              </c:pt>
              <c:pt idx="4">
                <c:v>100000</c:v>
              </c:pt>
              <c:pt idx="5">
                <c:v>500000</c:v>
              </c:pt>
            </c:numLit>
          </c:cat>
          <c:val>
            <c:numLit>
              <c:formatCode>General</c:formatCode>
              <c:ptCount val="6"/>
              <c:pt idx="0">
                <c:v>1.102528648546264</c:v>
              </c:pt>
              <c:pt idx="1">
                <c:v>1.058719208970025</c:v>
              </c:pt>
              <c:pt idx="2">
                <c:v>1.0742303143011467</c:v>
              </c:pt>
              <c:pt idx="3">
                <c:v>1.064834537168152</c:v>
              </c:pt>
              <c:pt idx="4">
                <c:v>1.0634516206536255</c:v>
              </c:pt>
              <c:pt idx="5">
                <c:v>1.0533577078779444</c:v>
              </c:pt>
            </c:numLit>
          </c:val>
        </c:ser>
        <c:ser>
          <c:idx val="1"/>
          <c:order val="1"/>
          <c:tx>
            <c:v>Binaria teórica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1000</c:v>
              </c:pt>
              <c:pt idx="1">
                <c:v>5000</c:v>
              </c:pt>
              <c:pt idx="2">
                <c:v>10000</c:v>
              </c:pt>
              <c:pt idx="3">
                <c:v>50000</c:v>
              </c:pt>
              <c:pt idx="4">
                <c:v>100000</c:v>
              </c:pt>
              <c:pt idx="5">
                <c:v>500000</c:v>
              </c:pt>
            </c:numLit>
          </c:cat>
          <c:val>
            <c:numLit>
              <c:formatCode>General</c:formatCode>
              <c:ptCount val="6"/>
              <c:pt idx="0">
                <c:v>1.1003433318879938</c:v>
              </c:pt>
              <c:pt idx="1">
                <c:v>1.0813821132128962</c:v>
              </c:pt>
              <c:pt idx="2">
                <c:v>1.0752574989159953</c:v>
              </c:pt>
              <c:pt idx="3">
                <c:v>1.064062974521268</c:v>
              </c:pt>
              <c:pt idx="4">
                <c:v>1.0602059991327963</c:v>
              </c:pt>
              <c:pt idx="5">
                <c:v>1.0528218248972963</c:v>
              </c:pt>
            </c:numLit>
          </c:val>
        </c:ser>
        <c:ser>
          <c:idx val="2"/>
          <c:order val="2"/>
          <c:tx>
            <c:v>Mergesort experimental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1000</c:v>
              </c:pt>
              <c:pt idx="1">
                <c:v>5000</c:v>
              </c:pt>
              <c:pt idx="2">
                <c:v>10000</c:v>
              </c:pt>
              <c:pt idx="3">
                <c:v>50000</c:v>
              </c:pt>
              <c:pt idx="4">
                <c:v>100000</c:v>
              </c:pt>
              <c:pt idx="5">
                <c:v>500000</c:v>
              </c:pt>
            </c:numLit>
          </c:cat>
          <c:val>
            <c:numLit>
              <c:formatCode>General</c:formatCode>
              <c:ptCount val="6"/>
              <c:pt idx="0">
                <c:v>2.1846636369455292</c:v>
              </c:pt>
              <c:pt idx="1">
                <c:v>2.505769033138074</c:v>
              </c:pt>
              <c:pt idx="2">
                <c:v>2.2244770888482908</c:v>
              </c:pt>
              <c:pt idx="3">
                <c:v>2.107498250537573</c:v>
              </c:pt>
              <c:pt idx="4">
                <c:v>2.1610320625165986</c:v>
              </c:pt>
              <c:pt idx="5">
                <c:v>2.100648871808293</c:v>
              </c:pt>
            </c:numLit>
          </c:val>
        </c:ser>
        <c:ser>
          <c:idx val="3"/>
          <c:order val="3"/>
          <c:tx>
            <c:v>Mergesort teórica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1000</c:v>
              </c:pt>
              <c:pt idx="1">
                <c:v>5000</c:v>
              </c:pt>
              <c:pt idx="2">
                <c:v>10000</c:v>
              </c:pt>
              <c:pt idx="3">
                <c:v>50000</c:v>
              </c:pt>
              <c:pt idx="4">
                <c:v>100000</c:v>
              </c:pt>
              <c:pt idx="5">
                <c:v>500000</c:v>
              </c:pt>
            </c:numLit>
          </c:cat>
          <c:val>
            <c:numLit>
              <c:formatCode>General</c:formatCode>
              <c:ptCount val="6"/>
              <c:pt idx="0">
                <c:v>2.2006866637759877</c:v>
              </c:pt>
              <c:pt idx="1">
                <c:v>2.1627642264257925</c:v>
              </c:pt>
              <c:pt idx="2">
                <c:v>2.1505149978319906</c:v>
              </c:pt>
              <c:pt idx="3">
                <c:v>2.128125949042536</c:v>
              </c:pt>
              <c:pt idx="4">
                <c:v>2.1204119982655927</c:v>
              </c:pt>
              <c:pt idx="5">
                <c:v>2.1056436497945925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785a4ca5814060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b9b906c345473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afad5331da4e5d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f30a90e7004f59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5d4eacbc4c4e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nchmarkData" displayName="BenchmarkData" ref="A1:K11" headerRowCount="1" totalsRowCount="0" totalsRowShown="0">
  <x:tableColumns count="11">
    <x:tableColumn id="1" name="n"/>
    <x:tableColumn id="2" name="Binaria promedio (ns/búsqueda)"/>
    <x:tableColumn id="3" name="Binaria mediana (ns/búsqueda)"/>
    <x:tableColumn id="4" name="Binaria desviación estándar"/>
    <x:tableColumn id="5" name="log2(n)"/>
    <x:tableColumn id="6" name="Mergesort promedio (ms)"/>
    <x:tableColumn id="7" name="Mergesort mediana (ms)"/>
    <x:tableColumn id="8" name="Mergesort desviación estándar"/>
    <x:tableColumn id="9" name="n log2(n)"/>
    <x:tableColumn id="10" name="Binaria ajustada (ns)"/>
    <x:tableColumn id="11" name="Mergesort ajustado (m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7ba6244fad48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991ca57374f414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</x:cols>
  <x:sheetData>
    <x:row r="1">
      <x:c r="A1" s="40" t="str">
        <x:v>Benchmark empírico — búsqueda binaria y Mergesort</x:v>
      </x:c>
      <x:c r="B1" s="40"/>
      <x:c r="C1" s="5"/>
      <x:c r="D1" s="5"/>
      <x:c r="E1" s="5"/>
      <x:c r="F1" s="5"/>
    </x:row>
    <x:row r="2">
      <x:c r="A2" s="41"/>
      <x:c r="B2" s="41"/>
    </x:row>
    <x:row r="3">
      <x:c r="A3" s="20" t="str">
        <x:v>Parámetro</x:v>
      </x:c>
      <x:c r="B3" s="21" t="str">
        <x:v>Configuración</x:v>
      </x:c>
    </x:row>
    <x:row r="4">
      <x:c r="A4" s="42" t="str">
        <x:v>Lenguaje</x:v>
      </x:c>
      <x:c r="B4" s="43" t="str">
        <x:v>C++17</x:v>
      </x:c>
    </x:row>
    <x:row r="5">
      <x:c r="A5" s="42" t="str">
        <x:v>Compilador</x:v>
      </x:c>
      <x:c r="B5" s="43" t="str">
        <x:v>g++ 14.2.0</x:v>
      </x:c>
    </x:row>
    <x:row r="6">
      <x:c r="A6" s="42" t="str">
        <x:v>Optimización</x:v>
      </x:c>
      <x:c r="B6" s="43" t="str">
        <x:v>-O2</x:v>
      </x:c>
    </x:row>
    <x:row r="7">
      <x:c r="A7" s="42" t="str">
        <x:v>Temporizador</x:v>
      </x:c>
      <x:c r="B7" s="43" t="str">
        <x:v>std::chrono::steady_clock</x:v>
      </x:c>
    </x:row>
    <x:row r="8">
      <x:c r="A8" s="42" t="str">
        <x:v>Semilla</x:v>
      </x:c>
      <x:c r="B8" s="43" t="n">
        <x:v>20261001</x:v>
      </x:c>
    </x:row>
    <x:row r="9">
      <x:c r="A9" s="42" t="str">
        <x:v>Repeticiones</x:v>
      </x:c>
      <x:c r="B9" s="43" t="n">
        <x:v>15</x:v>
      </x:c>
    </x:row>
    <x:row r="10">
      <x:c r="A10" s="42" t="str">
        <x:v>Búsquedas por repetición</x:v>
      </x:c>
      <x:c r="B10" s="43" t="n">
        <x:v>10000</x:v>
      </x:c>
    </x:row>
    <x:row r="11">
      <x:c r="A11" s="42" t="str">
        <x:v>Entrada</x:v>
      </x:c>
      <x:c r="B11" s="43" t="str">
        <x:v>Permutación aleatoria de 0,...,n-1</x:v>
      </x:c>
    </x:row>
    <x:row r="12">
      <x:c r="A12" s="42" t="str">
        <x:v>Búsqueda binaria</x:v>
      </x:c>
      <x:c r="B12" s="43" t="str">
        <x:v>Consultas aleatorias ausentes; caso desfavorable</x:v>
      </x:c>
    </x:row>
    <x:row r="13">
      <x:c r="A13" s="42" t="str">
        <x:v>Preparación</x:v>
      </x:c>
      <x:c r="B13" s="43" t="str">
        <x:v>Fuera del tiempo medido</x:v>
      </x:c>
    </x:row>
    <x:row r="14">
      <x:c r="A14" s="42" t="str">
        <x:v>Mergesort</x:v>
      </x:c>
      <x:c r="B14" s="43" t="str">
        <x:v>Se mide la ordenación completa; copia de entrada fuera de tiempo</x:v>
      </x:c>
    </x:row>
    <x:row r="15">
      <x:c r="A15" s="42" t="str">
        <x:v>Validación</x:v>
      </x:c>
      <x:c r="B15" s="43" t="str">
        <x:v>Se verifica que Mergesort deje el vector ordenado</x:v>
      </x:c>
    </x:row>
    <x:row r="16">
      <x:c r="A16" s="44" t="str">
        <x:v>Tamaño máximo</x:v>
      </x:c>
      <x:c r="B16" s="45" t="str">
        <x:v>1,000,000 elementos</x:v>
      </x:c>
    </x:row>
    <x:row r="17">
      <x:c r="A17" s="41"/>
      <x:c r="B17" s="41"/>
    </x:row>
    <x:row r="18">
      <x:c r="A18" s="46" t="str">
        <x:v>Entorno</x:v>
      </x:c>
      <x:c r="B18" s="46"/>
    </x:row>
    <x:row r="19">
      <x:c r="A19" s="47" t="str">
        <x:v>CPU</x:v>
      </x:c>
      <x:c r="B19" s="48" t="str">
        <x:v>AMD EPYC 9V74 80-Core Processor</x:v>
      </x:c>
    </x:row>
    <x:row r="20">
      <x:c r="A20" s="42" t="str">
        <x:v>Arquitectura</x:v>
      </x:c>
      <x:c r="B20" s="43" t="str">
        <x:v>x86_64</x:v>
      </x:c>
    </x:row>
    <x:row r="21">
      <x:c r="A21" s="42" t="str">
        <x:v>CPU lógicas disponibles</x:v>
      </x:c>
      <x:c r="B21" s="43" t="n">
        <x:v>3</x:v>
      </x:c>
    </x:row>
    <x:row r="22">
      <x:c r="A22" s="42" t="str">
        <x:v>Sistema operativo</x:v>
      </x:c>
      <x:c r="B22" s="43" t="str">
        <x:v>Debian GNU/Linux 13 (trixie), kernel 6.18.44</x:v>
      </x:c>
    </x:row>
    <x:row r="23">
      <x:c r="A23" s="44" t="str">
        <x:v>Observación</x:v>
      </x:c>
      <x:c r="B23" s="45" t="str">
        <x:v>Los tiempos absolutos dependen del entorno de ejecución.</x:v>
      </x:c>
    </x:row>
  </x:sheetData>
  <x:mergeCells>
    <x:mergeCell ref="A1:F1"/>
    <x:mergeCell ref="A18:B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2" hidden="0" customWidth="1"/>
    <x:col min="5" max="5" width="13" hidden="0" customWidth="1"/>
    <x:col min="6" max="6" width="22" hidden="0" customWidth="1"/>
    <x:col min="7" max="7" width="22" hidden="0" customWidth="1"/>
    <x:col min="8" max="8" width="22" hidden="0" customWidth="1"/>
    <x:col min="9" max="9" width="16" hidden="0" customWidth="1"/>
    <x:col min="10" max="10" width="23" hidden="0" customWidth="1"/>
    <x:col min="11" max="11" width="24" hidden="0" customWidth="1"/>
  </x:cols>
  <x:sheetData>
    <x:row r="1">
      <x:c r="A1" s="20" t="str">
        <x:v>n</x:v>
      </x:c>
      <x:c r="B1" s="58" t="str">
        <x:v>Binaria promedio (ns/búsqueda)</x:v>
      </x:c>
      <x:c r="C1" s="58" t="str">
        <x:v>Binaria mediana (ns/búsqueda)</x:v>
      </x:c>
      <x:c r="D1" s="58" t="str">
        <x:v>Binaria desviación estándar</x:v>
      </x:c>
      <x:c r="E1" s="58" t="str">
        <x:v>log2(n)</x:v>
      </x:c>
      <x:c r="F1" s="58" t="str">
        <x:v>Mergesort promedio (ms)</x:v>
      </x:c>
      <x:c r="G1" s="58" t="str">
        <x:v>Mergesort mediana (ms)</x:v>
      </x:c>
      <x:c r="H1" s="58" t="str">
        <x:v>Mergesort desviación estándar</x:v>
      </x:c>
      <x:c r="I1" s="58" t="str">
        <x:v>n log2(n)</x:v>
      </x:c>
      <x:c r="J1" s="58" t="str">
        <x:v>Binaria ajustada (ns)</x:v>
      </x:c>
      <x:c r="K1" s="21" t="str">
        <x:v>Mergesort ajustado (ms)</x:v>
      </x:c>
    </x:row>
    <x:row r="2">
      <x:c r="A2" s="22" t="n">
        <x:v>1000</x:v>
      </x:c>
      <x:c r="B2" s="59" t="n">
        <x:v>10.8346</x:v>
      </x:c>
      <x:c r="C2" s="59" t="n">
        <x:v>10.559</x:v>
      </x:c>
      <x:c r="D2" s="59" t="n">
        <x:v>0.589117473126</x:v>
      </x:c>
      <x:c r="E2" s="59" t="n">
        <x:v>9.96578428466</x:v>
      </x:c>
      <x:c r="F2" s="59" t="n">
        <x:v>0.0197184666667</x:v>
      </x:c>
      <x:c r="G2" s="59" t="n">
        <x:v>0.015623</x:v>
      </x:c>
      <x:c r="H2" s="59" t="n">
        <x:v>0.0087738041828</x:v>
      </x:c>
      <x:c r="I2" s="59" t="n">
        <x:v>9965.78428466</x:v>
      </x:c>
      <x:c r="J2" s="59" t="n">
        <x:f>'Análisis'!$B$5*E2+'Análisis'!$B$6</x:f>
        <x:v>10.85002722698311</x:v>
      </x:c>
      <x:c r="K2" s="23" t="n">
        <x:f>'Análisis'!$B$11*I2+'Análisis'!$B$12</x:f>
        <x:v>0.09730212889363665</x:v>
      </x:c>
    </x:row>
    <x:row r="3">
      <x:c r="A3" s="22" t="n">
        <x:v>2000</x:v>
      </x:c>
      <x:c r="B3" s="59" t="n">
        <x:v>11.93318</x:v>
      </x:c>
      <x:c r="C3" s="59" t="n">
        <x:v>11.6416</x:v>
      </x:c>
      <x:c r="D3" s="59" t="n">
        <x:v>0.511404534032</x:v>
      </x:c>
      <x:c r="E3" s="59" t="n">
        <x:v>10.9657842847</x:v>
      </x:c>
      <x:c r="F3" s="59" t="n">
        <x:v>0.040976</x:v>
      </x:c>
      <x:c r="G3" s="59" t="n">
        <x:v>0.034131</x:v>
      </x:c>
      <x:c r="H3" s="59" t="n">
        <x:v>0.01611969425</x:v>
      </x:c>
      <x:c r="I3" s="59" t="n">
        <x:v>21931.5685693</x:v>
      </x:c>
      <x:c r="J3" s="59" t="n">
        <x:f>'Análisis'!$B$5*E3+'Análisis'!$B$6</x:f>
        <x:v>11.923432514611024</x:v>
      </x:c>
      <x:c r="K3" s="23" t="n">
        <x:f>'Análisis'!$B$11*I3+'Análisis'!$B$12</x:f>
        <x:v>0.14673560858315687</x:v>
      </x:c>
    </x:row>
    <x:row r="4">
      <x:c r="A4" s="22" t="n">
        <x:v>5000</x:v>
      </x:c>
      <x:c r="B4" s="59" t="n">
        <x:v>15.0329733333</x:v>
      </x:c>
      <x:c r="C4" s="59" t="n">
        <x:v>13.8149</x:v>
      </x:c>
      <x:c r="D4" s="59" t="n">
        <x:v>2.834544509</x:v>
      </x:c>
      <x:c r="E4" s="59" t="n">
        <x:v>12.2877123795</x:v>
      </x:c>
      <x:c r="F4" s="59" t="n">
        <x:v>0.2223784</x:v>
      </x:c>
      <x:c r="G4" s="59" t="n">
        <x:v>0.214074</x:v>
      </x:c>
      <x:c r="H4" s="59" t="n">
        <x:v>0.028082332773</x:v>
      </x:c>
      <x:c r="I4" s="59" t="n">
        <x:v>61438.5618977</x:v>
      </x:c>
      <x:c r="J4" s="59" t="n">
        <x:f>'Análisis'!$B$5*E4+'Análisis'!$B$6</x:f>
        <x:v>13.342397121376477</x:v>
      </x:c>
      <x:c r="K4" s="23" t="n">
        <x:f>'Análisis'!$B$11*I4+'Análisis'!$B$12</x:f>
        <x:v>0.3099483245937922</x:v>
      </x:c>
    </x:row>
    <x:row r="5">
      <x:c r="A5" s="22" t="n">
        <x:v>10000</x:v>
      </x:c>
      <x:c r="B5" s="59" t="n">
        <x:v>15.0818733333</x:v>
      </x:c>
      <x:c r="C5" s="59" t="n">
        <x:v>14.6261</x:v>
      </x:c>
      <x:c r="D5" s="59" t="n">
        <x:v>0.964890422696</x:v>
      </x:c>
      <x:c r="E5" s="59" t="n">
        <x:v>13.2877123795</x:v>
      </x:c>
      <x:c r="F5" s="59" t="n">
        <x:v>0.560683</x:v>
      </x:c>
      <x:c r="G5" s="59" t="n">
        <x:v>0.53642</x:v>
      </x:c>
      <x:c r="H5" s="59" t="n">
        <x:v>0.0752644967337</x:v>
      </x:c>
      <x:c r="I5" s="59" t="n">
        <x:v>132877.123795</x:v>
      </x:c>
      <x:c r="J5" s="59" t="n">
        <x:f>'Análisis'!$B$5*E5+'Análisis'!$B$6</x:f>
        <x:v>14.415802408961452</x:v>
      </x:c>
      <x:c r="K5" s="23" t="n">
        <x:f>'Análisis'!$B$11*I5+'Análisis'!$B$12</x:f>
        <x:v>0.6050778885733051</x:v>
      </x:c>
    </x:row>
    <x:row r="6">
      <x:c r="A6" s="22" t="n">
        <x:v>20000</x:v>
      </x:c>
      <x:c r="B6" s="59" t="n">
        <x:v>16.86162</x:v>
      </x:c>
      <x:c r="C6" s="59" t="n">
        <x:v>15.7118</x:v>
      </x:c>
      <x:c r="D6" s="59" t="n">
        <x:v>2.61540046871</x:v>
      </x:c>
      <x:c r="E6" s="59" t="n">
        <x:v>14.2877123795</x:v>
      </x:c>
      <x:c r="F6" s="59" t="n">
        <x:v>1.2341796</x:v>
      </x:c>
      <x:c r="G6" s="59" t="n">
        <x:v>1.193254</x:v>
      </x:c>
      <x:c r="H6" s="59" t="n">
        <x:v>0.0766046885648</x:v>
      </x:c>
      <x:c r="I6" s="59" t="n">
        <x:v>285754.247591</x:v>
      </x:c>
      <x:c r="J6" s="59" t="n">
        <x:f>'Análisis'!$B$5*E6+'Análisis'!$B$6</x:f>
        <x:v>15.48920769654643</x:v>
      </x:c>
      <x:c r="K6" s="23" t="n">
        <x:f>'Análisis'!$B$11*I6+'Análisis'!$B$12</x:f>
        <x:v>1.2366493772773737</x:v>
      </x:c>
    </x:row>
    <x:row r="7">
      <x:c r="A7" s="22" t="n">
        <x:v>50000</x:v>
      </x:c>
      <x:c r="B7" s="59" t="n">
        <x:v>17.1033066667</x:v>
      </x:c>
      <x:c r="C7" s="59" t="n">
        <x:v>16.8074</x:v>
      </x:c>
      <x:c r="D7" s="59" t="n">
        <x:v>0.823950543303</x:v>
      </x:c>
      <x:c r="E7" s="59" t="n">
        <x:v>15.6096404744</x:v>
      </x:c>
      <x:c r="F7" s="59" t="n">
        <x:v>3.42966673333</x:v>
      </x:c>
      <x:c r="G7" s="59" t="n">
        <x:v>3.298156</x:v>
      </x:c>
      <x:c r="H7" s="59" t="n">
        <x:v>0.28875800896</x:v>
      </x:c>
      <x:c r="I7" s="59" t="n">
        <x:v>780482.023722</x:v>
      </x:c>
      <x:c r="J7" s="59" t="n">
        <x:f>'Análisis'!$B$5*E7+'Análisis'!$B$6</x:f>
        <x:v>16.908172303419224</x:v>
      </x:c>
      <x:c r="K7" s="23" t="n">
        <x:f>'Análisis'!$B$11*I7+'Análisis'!$B$12</x:f>
        <x:v>3.2804866128028904</x:v>
      </x:c>
    </x:row>
    <x:row r="8">
      <x:c r="A8" s="22" t="n">
        <x:v>100000</x:v>
      </x:c>
      <x:c r="B8" s="59" t="n">
        <x:v>18.8264066667</x:v>
      </x:c>
      <x:c r="C8" s="59" t="n">
        <x:v>17.8971</x:v>
      </x:c>
      <x:c r="D8" s="59" t="n">
        <x:v>1.63893760208</x:v>
      </x:c>
      <x:c r="E8" s="59" t="n">
        <x:v>16.6096404744</x:v>
      </x:c>
      <x:c r="F8" s="59" t="n">
        <x:v>7.0852794</x:v>
      </x:c>
      <x:c r="G8" s="59" t="n">
        <x:v>6.950858</x:v>
      </x:c>
      <x:c r="H8" s="59" t="n">
        <x:v>0.493360169519</x:v>
      </x:c>
      <x:c r="I8" s="59" t="n">
        <x:v>1660964.04744</x:v>
      </x:c>
      <x:c r="J8" s="59" t="n">
        <x:f>'Análisis'!$B$5*E8+'Análisis'!$B$6</x:f>
        <x:v>17.981577591004196</x:v>
      </x:c>
      <x:c r="K8" s="23" t="n">
        <x:f>'Análisis'!$B$11*I8+'Análisis'!$B$12</x:f>
        <x:v>6.917965711629959</x:v>
      </x:c>
    </x:row>
    <x:row r="9">
      <x:c r="A9" s="22" t="n">
        <x:v>200000</x:v>
      </x:c>
      <x:c r="B9" s="59" t="n">
        <x:v>19.40692</x:v>
      </x:c>
      <x:c r="C9" s="59" t="n">
        <x:v>19.0327</x:v>
      </x:c>
      <x:c r="D9" s="59" t="n">
        <x:v>0.888086023986</x:v>
      </x:c>
      <x:c r="E9" s="59" t="n">
        <x:v>17.6096404744</x:v>
      </x:c>
      <x:c r="F9" s="59" t="n">
        <x:v>15.2693707333</x:v>
      </x:c>
      <x:c r="G9" s="59" t="n">
        <x:v>15.021027</x:v>
      </x:c>
      <x:c r="H9" s="59" t="n">
        <x:v>0.784825169901</x:v>
      </x:c>
      <x:c r="I9" s="59" t="n">
        <x:v>3521928.09489</x:v>
      </x:c>
      <x:c r="J9" s="59" t="n">
        <x:f>'Análisis'!$B$5*E9+'Análisis'!$B$6</x:f>
        <x:v>19.054982878589175</x:v>
      </x:c>
      <x:c r="K9" s="23" t="n">
        <x:f>'Análisis'!$B$11*I9+'Análisis'!$B$12</x:f>
        <x:v>14.60604751673452</x:v>
      </x:c>
    </x:row>
    <x:row r="10">
      <x:c r="A10" s="22" t="n">
        <x:v>500000</x:v>
      </x:c>
      <x:c r="B10" s="59" t="n">
        <x:v>21.48996</x:v>
      </x:c>
      <x:c r="C10" s="59" t="n">
        <x:v>20.4038</x:v>
      </x:c>
      <x:c r="D10" s="59" t="n">
        <x:v>2.34955287959</x:v>
      </x:c>
      <x:c r="E10" s="59" t="n">
        <x:v>18.9315685693</x:v>
      </x:c>
      <x:c r="F10" s="59" t="n">
        <x:v>39.4057821333</x:v>
      </x:c>
      <x:c r="G10" s="59" t="n">
        <x:v>39.184165</x:v>
      </x:c>
      <x:c r="H10" s="59" t="n">
        <x:v>0.671287321943</x:v>
      </x:c>
      <x:c r="I10" s="59" t="n">
        <x:v>9465784.28466</x:v>
      </x:c>
      <x:c r="J10" s="59" t="n">
        <x:f>'Análisis'!$B$5*E10+'Análisis'!$B$6</x:f>
        <x:v>20.47394748546197</x:v>
      </x:c>
      <x:c r="K10" s="23" t="n">
        <x:f>'Análisis'!$B$11*I10+'Análisis'!$B$12</x:f>
        <x:v>39.16152062614</x:v>
      </x:c>
    </x:row>
    <x:row r="11">
      <x:c r="A11" s="24" t="n">
        <x:v>1000000</x:v>
      </x:c>
      <x:c r="B11" s="60" t="n">
        <x:v>22.3281466667</x:v>
      </x:c>
      <x:c r="C11" s="60" t="n">
        <x:v>21.4925</x:v>
      </x:c>
      <x:c r="D11" s="60" t="n">
        <x:v>1.64378785513</x:v>
      </x:c>
      <x:c r="E11" s="60" t="n">
        <x:v>19.9315685693</x:v>
      </x:c>
      <x:c r="F11" s="60" t="n">
        <x:v>82.338268</x:v>
      </x:c>
      <x:c r="G11" s="60" t="n">
        <x:v>82.312172</x:v>
      </x:c>
      <x:c r="H11" s="60" t="n">
        <x:v>0.692894215761</x:v>
      </x:c>
      <x:c r="I11" s="60" t="n">
        <x:v>19931568.5693</x:v>
      </x:c>
      <x:c r="J11" s="60" t="n">
        <x:f>'Análisis'!$B$5*E11+'Análisis'!$B$6</x:f>
        <x:v>21.547352773046946</x:v>
      </x:c>
      <x:c r="K11" s="25" t="n">
        <x:f>'Análisis'!$B$11*I11+'Análisis'!$B$12</x:f>
        <x:v>82.39814620477138</x:v>
      </x:c>
    </x:row>
  </x:sheetData>
  <x:pageMargins left="0.7" right="0.7" top="0.75" bottom="0.75" header="0.3" footer="0.3"/>
  <x:tableParts count="1">
    <x:tablePart xmlns:r="http://schemas.openxmlformats.org/officeDocument/2006/relationships" r:id="Ref7ba6244fad48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0" t="str">
        <x:v>Análisis estadístico</x:v>
      </x:c>
      <x:c r="B1" s="40"/>
      <x:c r="C1" s="40"/>
      <x:c r="D1" s="40"/>
      <x:c r="E1" s="40"/>
      <x:c r="F1" s="40"/>
      <x:c r="G1" s="40"/>
    </x:row>
    <x:row r="2">
      <x:c r="A2" s="41"/>
      <x:c r="B2" s="41"/>
      <x:c r="C2" s="41"/>
      <x:c r="D2" s="41"/>
      <x:c r="E2" s="41"/>
      <x:c r="F2" s="41"/>
      <x:c r="G2" s="41"/>
    </x:row>
    <x:row r="3">
      <x:c r="A3" s="77" t="str">
        <x:v>Búsqueda binaria</x:v>
      </x:c>
      <x:c r="B3" s="78" t="str"/>
      <x:c r="C3" s="79" t="str"/>
      <x:c r="D3" s="41"/>
      <x:c r="E3" s="41"/>
      <x:c r="F3" s="41"/>
      <x:c r="G3" s="41"/>
    </x:row>
    <x:row r="4">
      <x:c r="A4" s="66" t="str">
        <x:v>Métrica</x:v>
      </x:c>
      <x:c r="B4" s="14" t="str">
        <x:v>Valor</x:v>
      </x:c>
      <x:c r="C4" s="67" t="str">
        <x:v>Modelo</x:v>
      </x:c>
      <x:c r="D4" s="41"/>
      <x:c r="E4" s="41"/>
      <x:c r="F4" s="41"/>
      <x:c r="G4" s="41"/>
    </x:row>
    <x:row r="5">
      <x:c r="A5" s="42" t="str">
        <x:v>Pendiente a</x:v>
      </x:c>
      <x:c r="B5" s="41" t="n">
        <x:f>SLOPE('Datos'!C2:C11,'Datos'!E2:E11)</x:f>
        <x:v>1.073405287584976</x:v>
      </x:c>
      <x:c r="C5" s="43" t="str">
        <x:v>T(n)=a·log₂(n)+b</x:v>
      </x:c>
      <x:c r="D5" s="41"/>
      <x:c r="E5" s="41"/>
      <x:c r="F5" s="41"/>
      <x:c r="G5" s="41"/>
    </x:row>
    <x:row r="6">
      <x:c r="A6" s="42" t="str">
        <x:v>Intercepto b</x:v>
      </x:c>
      <x:c r="B6" s="41" t="n">
        <x:f>INTERCEPT('Datos'!C2:C11,'Datos'!E2:E11)</x:f>
        <x:v>0.15270168089780967</x:v>
      </x:c>
      <x:c r="C6" s="43" t="str"/>
      <x:c r="D6" s="41"/>
      <x:c r="E6" s="41"/>
      <x:c r="F6" s="41"/>
      <x:c r="G6" s="41"/>
    </x:row>
    <x:row r="7">
      <x:c r="A7" s="42" t="str">
        <x:v>R²</x:v>
      </x:c>
      <x:c r="B7" s="41" t="n">
        <x:f>RSQ('Datos'!C2:C11,'Datos'!E2:E11)</x:f>
        <x:v>0.9957029838512516</x:v>
      </x:c>
      <x:c r="C7" s="43" t="str"/>
      <x:c r="D7" s="41"/>
      <x:c r="E7" s="41"/>
      <x:c r="F7" s="41"/>
      <x:c r="G7" s="41"/>
    </x:row>
    <x:row r="8">
      <x:c r="A8" s="42"/>
      <x:c r="B8" s="41"/>
      <x:c r="C8" s="43"/>
      <x:c r="D8" s="41"/>
      <x:c r="E8" s="41"/>
      <x:c r="F8" s="41"/>
      <x:c r="G8" s="41"/>
    </x:row>
    <x:row r="9">
      <x:c r="A9" s="80" t="str">
        <x:v>Mergesort</x:v>
      </x:c>
      <x:c r="B9" s="46" t="str"/>
      <x:c r="C9" s="81" t="str"/>
      <x:c r="D9" s="41"/>
      <x:c r="E9" s="41"/>
      <x:c r="F9" s="41"/>
      <x:c r="G9" s="41"/>
    </x:row>
    <x:row r="10">
      <x:c r="A10" s="66" t="str">
        <x:v>Métrica</x:v>
      </x:c>
      <x:c r="B10" s="14" t="str">
        <x:v>Valor</x:v>
      </x:c>
      <x:c r="C10" s="67" t="str">
        <x:v>Modelo</x:v>
      </x:c>
      <x:c r="D10" s="41"/>
      <x:c r="E10" s="41"/>
      <x:c r="F10" s="41"/>
      <x:c r="G10" s="41"/>
    </x:row>
    <x:row r="11">
      <x:c r="A11" s="42" t="str">
        <x:v>Pendiente a</x:v>
      </x:c>
      <x:c r="B11" s="41" t="n">
        <x:f>SLOPE('Datos'!G2:G11,'Datos'!I2:I11)</x:f>
        <x:v>0.000004131236073925885</x:v>
      </x:c>
      <x:c r="C11" s="43" t="str">
        <x:v>T(n)=a·(n log₂(n))+b</x:v>
      </x:c>
      <x:c r="D11" s="41"/>
      <x:c r="E11" s="41"/>
      <x:c r="F11" s="41"/>
      <x:c r="G11" s="41"/>
    </x:row>
    <x:row r="12">
      <x:c r="A12" s="42" t="str">
        <x:v>Intercepto b</x:v>
      </x:c>
      <x:c r="B12" s="41" t="n">
        <x:f>INTERCEPT('Datos'!G2:G11,'Datos'!I2:I11)</x:f>
        <x:v>0.05613112135188558</x:v>
      </x:c>
      <x:c r="C12" s="43" t="str"/>
      <x:c r="D12" s="41"/>
      <x:c r="E12" s="41"/>
      <x:c r="F12" s="41"/>
      <x:c r="G12" s="41"/>
    </x:row>
    <x:row r="13">
      <x:c r="A13" s="44" t="str">
        <x:v>R²</x:v>
      </x:c>
      <x:c r="B13" s="82" t="n">
        <x:f>RSQ('Datos'!G2:G11,'Datos'!I2:I11)</x:f>
        <x:v>0.9999660658480212</x:v>
      </x:c>
      <x:c r="C13" s="45" t="str"/>
      <x:c r="D13" s="41"/>
      <x:c r="E13" s="41"/>
      <x:c r="F13" s="41"/>
      <x:c r="G13" s="41"/>
    </x:row>
    <x:row r="14">
      <x:c r="A14" s="41"/>
      <x:c r="B14" s="41"/>
      <x:c r="C14" s="41"/>
      <x:c r="D14" s="41"/>
      <x:c r="E14" s="41"/>
      <x:c r="F14" s="41"/>
      <x:c r="G14" s="41"/>
    </x:row>
    <x:row r="15">
      <x:c r="A15" s="20" t="str">
        <x:v>n</x:v>
      </x:c>
      <x:c r="B15" s="58" t="str">
        <x:v>2n</x:v>
      </x:c>
      <x:c r="C15" s="58" t="str">
        <x:v>Binaria experimental</x:v>
      </x:c>
      <x:c r="D15" s="58" t="str">
        <x:v>Binaria teórica</x:v>
      </x:c>
      <x:c r="E15" s="58" t="str">
        <x:v>Mergesort experimental</x:v>
      </x:c>
      <x:c r="F15" s="21" t="str">
        <x:v>Mergesort teórica</x:v>
      </x:c>
      <x:c r="G15" s="41"/>
    </x:row>
    <x:row r="16">
      <x:c r="A16" s="42" t="n">
        <x:v>1000</x:v>
      </x:c>
      <x:c r="B16" s="41" t="n">
        <x:v>2000</x:v>
      </x:c>
      <x:c r="C16" s="41" t="n">
        <x:v>1.102528648546264</x:v>
      </x:c>
      <x:c r="D16" s="41" t="n">
        <x:v>1.1003433318879938</x:v>
      </x:c>
      <x:c r="E16" s="41" t="n">
        <x:v>2.1846636369455292</x:v>
      </x:c>
      <x:c r="F16" s="43" t="n">
        <x:v>2.2006866637759877</x:v>
      </x:c>
      <x:c r="G16" s="41"/>
    </x:row>
    <x:row r="17">
      <x:c r="A17" s="42" t="n">
        <x:v>5000</x:v>
      </x:c>
      <x:c r="B17" s="41" t="n">
        <x:v>10000</x:v>
      </x:c>
      <x:c r="C17" s="41" t="n">
        <x:v>1.058719208970025</x:v>
      </x:c>
      <x:c r="D17" s="41" t="n">
        <x:v>1.0813821132128962</x:v>
      </x:c>
      <x:c r="E17" s="41" t="n">
        <x:v>2.505769033138074</x:v>
      </x:c>
      <x:c r="F17" s="43" t="n">
        <x:v>2.1627642264257925</x:v>
      </x:c>
      <x:c r="G17" s="41"/>
    </x:row>
    <x:row r="18">
      <x:c r="A18" s="42" t="n">
        <x:v>10000</x:v>
      </x:c>
      <x:c r="B18" s="41" t="n">
        <x:v>20000</x:v>
      </x:c>
      <x:c r="C18" s="41" t="n">
        <x:v>1.0742303143011467</x:v>
      </x:c>
      <x:c r="D18" s="41" t="n">
        <x:v>1.0752574989159953</x:v>
      </x:c>
      <x:c r="E18" s="41" t="n">
        <x:v>2.2244770888482908</x:v>
      </x:c>
      <x:c r="F18" s="43" t="n">
        <x:v>2.1505149978319906</x:v>
      </x:c>
      <x:c r="G18" s="41"/>
    </x:row>
    <x:row r="19">
      <x:c r="A19" s="42" t="n">
        <x:v>50000</x:v>
      </x:c>
      <x:c r="B19" s="41" t="n">
        <x:v>100000</x:v>
      </x:c>
      <x:c r="C19" s="41" t="n">
        <x:v>1.064834537168152</x:v>
      </x:c>
      <x:c r="D19" s="41" t="n">
        <x:v>1.064062974521268</x:v>
      </x:c>
      <x:c r="E19" s="41" t="n">
        <x:v>2.107498250537573</x:v>
      </x:c>
      <x:c r="F19" s="43" t="n">
        <x:v>2.128125949042536</x:v>
      </x:c>
      <x:c r="G19" s="41"/>
    </x:row>
    <x:row r="20">
      <x:c r="A20" s="42" t="n">
        <x:v>100000</x:v>
      </x:c>
      <x:c r="B20" s="41" t="n">
        <x:v>200000</x:v>
      </x:c>
      <x:c r="C20" s="41" t="n">
        <x:v>1.0634516206536255</x:v>
      </x:c>
      <x:c r="D20" s="41" t="n">
        <x:v>1.0602059991327963</x:v>
      </x:c>
      <x:c r="E20" s="41" t="n">
        <x:v>2.1610320625165986</x:v>
      </x:c>
      <x:c r="F20" s="43" t="n">
        <x:v>2.1204119982655927</x:v>
      </x:c>
      <x:c r="G20" s="41"/>
    </x:row>
    <x:row r="21">
      <x:c r="A21" s="44" t="n">
        <x:v>500000</x:v>
      </x:c>
      <x:c r="B21" s="82" t="n">
        <x:v>1000000</x:v>
      </x:c>
      <x:c r="C21" s="82" t="n">
        <x:v>1.0533577078779444</x:v>
      </x:c>
      <x:c r="D21" s="82" t="n">
        <x:v>1.0528218248972963</x:v>
      </x:c>
      <x:c r="E21" s="82" t="n">
        <x:v>2.100648871808293</x:v>
      </x:c>
      <x:c r="F21" s="45" t="n">
        <x:v>2.1056436497945925</x:v>
      </x:c>
      <x:c r="G21" s="41"/>
    </x:row>
    <x:row r="22">
      <x:c r="A22" s="41"/>
      <x:c r="B22" s="41"/>
      <x:c r="C22" s="41"/>
      <x:c r="D22" s="41"/>
      <x:c r="E22" s="41"/>
      <x:c r="F22" s="41"/>
      <x:c r="G22" s="41"/>
    </x:row>
    <x:row r="23">
      <x:c r="A23" s="41"/>
      <x:c r="B23" s="41"/>
      <x:c r="C23" s="41"/>
      <x:c r="D23" s="41"/>
      <x:c r="E23" s="41"/>
      <x:c r="F23" s="41"/>
      <x:c r="G23" s="41"/>
    </x:row>
    <x:row r="24">
      <x:c r="A24" s="41"/>
      <x:c r="B24" s="41"/>
      <x:c r="C24" s="41"/>
      <x:c r="D24" s="41"/>
      <x:c r="E24" s="41"/>
      <x:c r="F24" s="41"/>
      <x:c r="G24" s="41"/>
    </x:row>
    <x:row r="25">
      <x:c r="A25" s="41"/>
      <x:c r="B25" s="41"/>
      <x:c r="C25" s="41"/>
      <x:c r="D25" s="41"/>
      <x:c r="E25" s="41"/>
      <x:c r="F25" s="41"/>
      <x:c r="G25" s="41"/>
    </x:row>
    <x:row r="26">
      <x:c r="A26" s="41"/>
      <x:c r="B26" s="41"/>
      <x:c r="C26" s="41"/>
      <x:c r="D26" s="41"/>
      <x:c r="E26" s="41"/>
      <x:c r="F26" s="41"/>
      <x:c r="G26" s="41"/>
    </x:row>
    <x:row r="27">
      <x:c r="A27" s="41"/>
      <x:c r="B27" s="41"/>
      <x:c r="C27" s="41"/>
      <x:c r="D27" s="41"/>
      <x:c r="E27" s="41"/>
      <x:c r="F27" s="41"/>
      <x:c r="G27" s="41"/>
    </x:row>
    <x:row r="28">
      <x:c r="A28" s="41"/>
      <x:c r="B28" s="41"/>
      <x:c r="C28" s="41"/>
      <x:c r="D28" s="41"/>
      <x:c r="E28" s="41"/>
      <x:c r="F28" s="41"/>
      <x:c r="G28" s="41"/>
    </x:row>
    <x:row r="29">
      <x:c r="A29" s="41"/>
      <x:c r="B29" s="41"/>
      <x:c r="C29" s="41"/>
      <x:c r="D29" s="41"/>
      <x:c r="E29" s="41"/>
      <x:c r="F29" s="41"/>
      <x:c r="G29" s="41"/>
    </x:row>
    <x:row r="30">
      <x:c r="A30" s="41"/>
      <x:c r="B30" s="41"/>
      <x:c r="C30" s="41"/>
      <x:c r="D30" s="41"/>
      <x:c r="E30" s="41"/>
      <x:c r="F30" s="41"/>
      <x:c r="G30" s="41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5" t="str">
        <x:v>Gráficas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56">
      <x:c r="A56" s="63" t="str">
        <x:v>Nota</x:v>
      </x:c>
      <x:c r="B56" s="37" t="str">
        <x:v>Las gráficas G2 y G3 comparan tiempos medidos con variables teóricas escaladas mediante regresión lineal.</x:v>
      </x:c>
    </x:row>
    <x:row r="57">
      <x:c r="A57" s="89" t="str">
        <x:v>Advertencia</x:v>
      </x:c>
      <x:c r="B57" s="25" t="str">
        <x:v>R² alto indica consistencia del modelo en el rango probado; no constituye demostración matemática.</x:v>
      </x:c>
    </x:row>
  </x:sheetData>
  <x:mergeCells>
    <x:mergeCell ref="A1:Q1"/>
  </x:mergeCells>
  <x:pageMargins left="0.7" right="0.7" top="0.75" bottom="0.75" header="0.3" footer="0.3"/>
  <x:drawing xmlns:r="http://schemas.openxmlformats.org/officeDocument/2006/relationships" r:id="R8991ca57374f4146"/>
</x:worksheet>
</file>